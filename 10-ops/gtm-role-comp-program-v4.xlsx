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les" sheetId="2" state="visible" r:id="rId2"/>
    <sheet name="SDR_Comp" sheetId="3" state="visible" r:id="rId3"/>
    <sheet name="Content_Comp" sheetId="4" state="visible" r:id="rId4"/>
    <sheet name="Calculator" sheetId="5" state="visible" r:id="rId5"/>
    <sheet name="Scenarios" sheetId="6" state="visible" r:id="rId6"/>
    <sheet name="Daily_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"/>
    <numFmt numFmtId="167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sz val="11"/>
    </font>
    <font>
      <name val="Arial"/>
      <b val="1"/>
      <sz val="11"/>
    </font>
    <font>
      <name val="Arial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5" fillId="2" borderId="0" pivotButton="0" quotePrefix="0" xfId="0"/>
    <xf numFmtId="1" fontId="5" fillId="2" borderId="0" pivotButton="0" quotePrefix="0" xfId="0"/>
    <xf numFmtId="165" fontId="3" fillId="0" borderId="0" pivotButton="0" quotePrefix="0" xfId="0"/>
    <xf numFmtId="166" fontId="5" fillId="2" borderId="0" pivotButton="0" quotePrefix="0" xfId="0"/>
    <xf numFmtId="167" fontId="5" fillId="2" borderId="0" pivotButton="0" quotePrefix="0" xfId="0"/>
    <xf numFmtId="164" fontId="3" fillId="0" borderId="0" pivotButton="0" quotePrefix="0" xfId="0"/>
    <xf numFmtId="164" fontId="4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GTM Role Compensation Program — v4</t>
        </is>
      </c>
    </row>
    <row r="2">
      <c r="A2" s="2" t="inlineStr">
        <is>
          <t>Role-based, person-agnostic. Effective [date]. Supersedes v3 (person-specific model).</t>
        </is>
      </c>
    </row>
    <row r="3">
      <c r="A3" s="3" t="inlineStr"/>
    </row>
    <row r="4">
      <c r="A4" s="4" t="inlineStr">
        <is>
          <t>WHAT THIS IS</t>
        </is>
      </c>
    </row>
    <row r="5">
      <c r="A5" s="3" t="inlineStr">
        <is>
          <t>A compensation program for two part-time contractor GTM roles. It is designed around the company's needs,</t>
        </is>
      </c>
    </row>
    <row r="6">
      <c r="A6" s="3" t="inlineStr">
        <is>
          <t>not any individual. Anyone hired into a role is paid by the same rules. One person may hold both roles;</t>
        </is>
      </c>
    </row>
    <row r="7">
      <c r="A7" s="3" t="inlineStr">
        <is>
          <t>comp stacks, hours do not double-count.</t>
        </is>
      </c>
    </row>
    <row r="8">
      <c r="A8" s="3" t="inlineStr"/>
    </row>
    <row r="9">
      <c r="A9" s="4" t="inlineStr">
        <is>
          <t>DESIGN PRINCIPLES</t>
        </is>
      </c>
    </row>
    <row r="10">
      <c r="A10" s="3" t="inlineStr">
        <is>
          <t>1. Pay for outcomes at market-fair rates: qualified meetings held and cash collected, not activity volume.</t>
        </is>
      </c>
    </row>
    <row r="11">
      <c r="A11" s="3" t="inlineStr">
        <is>
          <t>2. Commissions are on COLLECTED cash only. Max two payouts per deal. No open-ended trailing payments.</t>
        </is>
      </c>
    </row>
    <row r="12">
      <c r="A12" s="3" t="inlineStr">
        <is>
          <t>3. Fairness floor: base + realistic variable should clear ~$15/hr for committed hours (see Scenarios hourly check).</t>
        </is>
      </c>
    </row>
    <row r="13">
      <c r="A13" s="3" t="inlineStr">
        <is>
          <t>4. ICP guardrail: only meetings/deals in approved lanes count. New lanes need written approval BEFORE list-building.</t>
        </is>
      </c>
    </row>
    <row r="14">
      <c r="A14" s="3" t="inlineStr">
        <is>
          <t>5. When a role ends: earned amounts are paid; the deal ledger closes 90 days after the end date.</t>
        </is>
      </c>
    </row>
    <row r="15">
      <c r="A15" s="3" t="inlineStr"/>
    </row>
    <row r="16">
      <c r="A16" s="4" t="inlineStr">
        <is>
          <t>TABS</t>
        </is>
      </c>
    </row>
    <row r="17">
      <c r="A17" s="3" t="inlineStr">
        <is>
          <t>• Roles — the two role definitions and what each does / does not own</t>
        </is>
      </c>
    </row>
    <row r="18">
      <c r="A18" s="3" t="inlineStr">
        <is>
          <t>• SDR_Comp — outbound role: base, meeting payout, close incentives, qualification criteria (the rules)</t>
        </is>
      </c>
    </row>
    <row r="19">
      <c r="A19" s="3" t="inlineStr">
        <is>
          <t>• Content_Comp — content role: per-piece rate card and quality gate (the rules)</t>
        </is>
      </c>
    </row>
    <row r="20">
      <c r="A20" s="3" t="inlineStr">
        <is>
          <t>• Calculator — model a month of earnings at any activity level</t>
        </is>
      </c>
    </row>
    <row r="21">
      <c r="A21" s="3" t="inlineStr">
        <is>
          <t>• Scenarios — floor / target / stretch per role, with $/hr fairness check</t>
        </is>
      </c>
    </row>
    <row r="22">
      <c r="A22" s="3" t="inlineStr">
        <is>
          <t>• Daily_Tracker — the end-of-day report template the SDR role submits</t>
        </is>
      </c>
    </row>
    <row r="23">
      <c r="A23" s="3" t="inlineStr"/>
    </row>
    <row r="24">
      <c r="A24" s="4" t="inlineStr">
        <is>
          <t>LEGEND</t>
        </is>
      </c>
    </row>
    <row r="25">
      <c r="A25" s="3" t="inlineStr">
        <is>
          <t>• Yellow cells with blue text = program inputs Rick can edit. Everything else computes from them.</t>
        </is>
      </c>
    </row>
    <row r="26">
      <c r="A26" s="3" t="inlineStr">
        <is>
          <t>• Black cells = formulas. Do not overwrite.</t>
        </is>
      </c>
    </row>
    <row r="27">
      <c r="A27" s="3" t="inlineStr">
        <is>
          <t>• All dollar figures are monthly unless labeled otherwise.</t>
        </is>
      </c>
    </row>
    <row r="28">
      <c r="A28" s="3" t="inlineStr"/>
    </row>
    <row r="29">
      <c r="A29" s="4" t="inlineStr">
        <is>
          <t>ASSUMPTION NOTES</t>
        </is>
      </c>
    </row>
    <row r="30">
      <c r="A30" s="3" t="inlineStr">
        <is>
          <t>• Market-reference ranges on the comp tabs are stated assumptions for a part-time junior contractor (US, 2026),</t>
        </is>
      </c>
    </row>
    <row r="31">
      <c r="A31" s="3" t="inlineStr">
        <is>
          <t xml:space="preserve">  set by Rick after review — not quotes from a published survey.</t>
        </is>
      </c>
    </row>
    <row r="32">
      <c r="A32" s="3" t="inlineStr">
        <is>
          <t>• Avg MRR default of $39 reflects current live price points ($29–39 single-seat; $20 founding-nonprofit bridge).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</cols>
  <sheetData>
    <row r="1">
      <c r="A1" s="5" t="inlineStr">
        <is>
          <t>Role Definitions</t>
        </is>
      </c>
    </row>
    <row r="3">
      <c r="A3" s="6" t="inlineStr">
        <is>
          <t>ROLE 1 — OUTBOUND SDR (part-time contractor)</t>
        </is>
      </c>
      <c r="B3" s="6" t="inlineStr">
        <is>
          <t>ROLE 2 — CONTENT &amp; COMMUNITY (part-time contractor)</t>
        </is>
      </c>
    </row>
    <row r="4">
      <c r="A4" s="3" t="inlineStr">
        <is>
          <t>Mission: book qualified meetings with approved-ICP prospects.</t>
        </is>
      </c>
      <c r="B4" s="3" t="inlineStr">
        <is>
          <t>Mission: ship approved content that supports the GTM motion.</t>
        </is>
      </c>
    </row>
    <row r="5">
      <c r="A5" s="3" t="inlineStr">
        <is>
          <t>Committed floor: 10 hrs/week (base covers this). Typical: 15–20.</t>
        </is>
      </c>
      <c r="B5" s="3" t="inlineStr">
        <is>
          <t>No committed hours — paid per shipped, approved piece.</t>
        </is>
      </c>
    </row>
    <row r="6">
      <c r="A6" s="3" t="inlineStr">
        <is>
          <t>Owns:</t>
        </is>
      </c>
      <c r="B6" s="3" t="inlineStr">
        <is>
          <t>Owns:</t>
        </is>
      </c>
    </row>
    <row r="7">
      <c r="A7" s="3" t="inlineStr">
        <is>
          <t xml:space="preserve">  • List building in approved lanes only</t>
        </is>
      </c>
      <c r="B7" s="3" t="inlineStr">
        <is>
          <t xml:space="preserve">  • Survey-led posts (public survey → findings post)</t>
        </is>
      </c>
    </row>
    <row r="8">
      <c r="A8" s="3" t="inlineStr">
        <is>
          <t xml:space="preserve">  • Personalized outreach — every send individually researched;</t>
        </is>
      </c>
      <c r="B8" s="3" t="inlineStr">
        <is>
          <t xml:space="preserve">  • Testimonial cuts from customer video</t>
        </is>
      </c>
    </row>
    <row r="9">
      <c r="A9" s="3" t="inlineStr">
        <is>
          <t xml:space="preserve">    first 2 weeks of sends reviewed before sending</t>
        </is>
      </c>
      <c r="B9" s="3" t="inlineStr">
        <is>
          <t xml:space="preserve">  • Case studies / long-form (with founder input)</t>
        </is>
      </c>
    </row>
    <row r="10">
      <c r="A10" s="3" t="inlineStr">
        <is>
          <t xml:space="preserve">  • Follow-up sequences (touches 2–4) — most replies live here</t>
        </is>
      </c>
      <c r="B10" s="3" t="inlineStr">
        <is>
          <t xml:space="preserve">  • Event recaps and community posts</t>
        </is>
      </c>
    </row>
    <row r="11">
      <c r="A11" s="3" t="inlineStr">
        <is>
          <t xml:space="preserve">  • Booking + meeting prep; same-day notes to founder</t>
        </is>
      </c>
      <c r="B11" s="3" t="inlineStr">
        <is>
          <t>Does NOT own:</t>
        </is>
      </c>
    </row>
    <row r="12">
      <c r="A12" s="3" t="inlineStr">
        <is>
          <t xml:space="preserve">  • Daily end-of-day tracker (see Daily_Tracker)</t>
        </is>
      </c>
      <c r="B12" s="3" t="inlineStr">
        <is>
          <t xml:space="preserve">  • Outreach or DMs at scale</t>
        </is>
      </c>
    </row>
    <row r="13">
      <c r="A13" s="3" t="inlineStr">
        <is>
          <t>Does NOT own:</t>
        </is>
      </c>
      <c r="B13" s="3" t="inlineStr">
        <is>
          <t xml:space="preserve">  • Influencer / partnership deals — written approval first</t>
        </is>
      </c>
    </row>
    <row r="14">
      <c r="A14" s="3" t="inlineStr">
        <is>
          <t xml:space="preserve">  • Closing (founder closes), pricing, discounts</t>
        </is>
      </c>
      <c r="B14" s="3" t="inlineStr">
        <is>
          <t xml:space="preserve">  • Publishing without approval (every piece is gated)</t>
        </is>
      </c>
    </row>
    <row r="15">
      <c r="A15" s="3" t="inlineStr">
        <is>
          <t xml:space="preserve">  • Choosing new ICPs / verticals — written approval first</t>
        </is>
      </c>
      <c r="B15" s="3" t="inlineStr">
        <is>
          <t>Quality gate: researched, drafted, edited by the person —</t>
        </is>
      </c>
    </row>
    <row r="16">
      <c r="A16" s="3" t="inlineStr">
        <is>
          <t xml:space="preserve">  • Content production</t>
        </is>
      </c>
      <c r="B16" s="3" t="inlineStr">
        <is>
          <t xml:space="preserve">  raw AI output does not count and is not paid.</t>
        </is>
      </c>
    </row>
    <row r="17">
      <c r="A17" s="3" t="inlineStr">
        <is>
          <t>Compensation: SDR_Comp tab.</t>
        </is>
      </c>
      <c r="B17" s="3" t="inlineStr">
        <is>
          <t>Compensation: Content_Comp tab.</t>
        </is>
      </c>
    </row>
    <row r="20">
      <c r="A20" s="2" t="inlineStr">
        <is>
          <t>One person may hold both roles. Comp stacks; committed hours are counted once. If the split ever feels unfair, fix the rates on the comp tabs — not by side deals.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0" customWidth="1" min="3" max="3"/>
  </cols>
  <sheetData>
    <row r="1">
      <c r="A1" s="5" t="inlineStr">
        <is>
          <t>Outbound SDR — Compensation Rules</t>
        </is>
      </c>
    </row>
    <row r="2">
      <c r="A2" s="7" t="inlineStr">
        <is>
          <t>Yellow cells are program inputs. Calculator and Scenarios reference these.</t>
        </is>
      </c>
    </row>
    <row r="4">
      <c r="A4" s="6" t="inlineStr">
        <is>
          <t>BASE</t>
        </is>
      </c>
    </row>
    <row r="5">
      <c r="A5" s="8" t="inlineStr">
        <is>
          <t>Monthly base ($)</t>
        </is>
      </c>
      <c r="B5" s="9" t="n">
        <v>650</v>
      </c>
      <c r="C5" s="2" t="inlineStr">
        <is>
          <t>Guaranteed. Covers the 10 hr/week committed floor.</t>
        </is>
      </c>
    </row>
    <row r="6">
      <c r="A6" s="8" t="inlineStr">
        <is>
          <t>Committed hours/week (floor)</t>
        </is>
      </c>
      <c r="B6" s="10" t="n">
        <v>10</v>
      </c>
      <c r="C6" s="2" t="inlineStr">
        <is>
          <t>Below this two weeks running → base pro-rates.</t>
        </is>
      </c>
    </row>
    <row r="7">
      <c r="A7" s="8" t="inlineStr">
        <is>
          <t>Implied floor rate ($/hr)</t>
        </is>
      </c>
      <c r="B7" s="11">
        <f>B5/(B6*52/12)</f>
        <v/>
      </c>
      <c r="C7" s="7" t="inlineStr">
        <is>
          <t>Fairness check: keep ≥ ~$15/hr.</t>
        </is>
      </c>
    </row>
    <row r="9">
      <c r="A9" s="6" t="inlineStr">
        <is>
          <t>MEETING PAYOUT</t>
        </is>
      </c>
    </row>
    <row r="10">
      <c r="A10" s="8" t="inlineStr">
        <is>
          <t>Per qualified meeting held ($)</t>
        </is>
      </c>
      <c r="B10" s="9" t="n">
        <v>50</v>
      </c>
      <c r="C10" s="7" t="inlineStr">
        <is>
          <t>Held = happened. Booked-only pays nothing.</t>
        </is>
      </c>
    </row>
    <row r="12">
      <c r="A12" s="6" t="inlineStr">
        <is>
          <t>Qualified meeting = ALL of the following:</t>
        </is>
      </c>
    </row>
    <row r="13">
      <c r="A13" s="3" t="inlineStr">
        <is>
          <t xml:space="preserve">  1. Prospect fits an approved lane (see ICP guardrail below)</t>
        </is>
      </c>
    </row>
    <row r="14">
      <c r="A14" s="3" t="inlineStr">
        <is>
          <t xml:space="preserve">  2. Meeting actually occurs — no-shows do NOT count</t>
        </is>
      </c>
    </row>
    <row r="15">
      <c r="A15" s="3" t="inlineStr">
        <is>
          <t xml:space="preserve">  3. Prospect is net-new: not already in pipeline, not an existing customer</t>
        </is>
      </c>
    </row>
    <row r="16">
      <c r="A16" s="3" t="inlineStr">
        <is>
          <t xml:space="preserve">  4. At least 20 minutes of real discussion</t>
        </is>
      </c>
    </row>
    <row r="17">
      <c r="A17" s="3" t="inlineStr">
        <is>
          <t xml:space="preserve">  5. Founder visibility: on the invite, or notes shared same-day</t>
        </is>
      </c>
    </row>
    <row r="19">
      <c r="A19" s="6" t="inlineStr">
        <is>
          <t>CLOSE INCENTIVES — collected cash only</t>
        </is>
      </c>
    </row>
    <row r="20">
      <c r="A20" s="8" t="inlineStr">
        <is>
          <t>Close bounty (× first month collected)</t>
        </is>
      </c>
      <c r="B20" s="12" t="n">
        <v>2</v>
      </c>
      <c r="C20" s="2" t="inlineStr">
        <is>
          <t>Paid after the customer's first payment clears. On annual prepay: bounty on the monthly-equivalent.</t>
        </is>
      </c>
    </row>
    <row r="21">
      <c r="A21" s="8" t="inlineStr">
        <is>
          <t>Retention true-up (% of Y1 value = 12 × MRR)</t>
        </is>
      </c>
      <c r="B21" s="13" t="n">
        <v>0.1</v>
      </c>
      <c r="C21" s="2" t="inlineStr">
        <is>
          <t>Paid ONCE, only if the customer is still active on day 90.</t>
        </is>
      </c>
    </row>
    <row r="22">
      <c r="A22" s="2" t="inlineStr">
        <is>
          <t>Max payouts per deal: two (bounty + true-up). No trailing commissions.</t>
        </is>
      </c>
    </row>
    <row r="23">
      <c r="A23" s="2" t="inlineStr">
        <is>
          <t>Applies to deals the SDR sourced (their outreach/booking). Founder-sourced deals: no commission — covered by base.</t>
        </is>
      </c>
    </row>
    <row r="25">
      <c r="A25" s="6" t="inlineStr">
        <is>
          <t>ICP GUARDRAIL</t>
        </is>
      </c>
    </row>
    <row r="26">
      <c r="A26" s="3" t="inlineStr">
        <is>
          <t>Approved lanes (current): 1) Consultants / fractional operators · 2) Member orgs (nonprofits, accelerators, associations).</t>
        </is>
      </c>
    </row>
    <row r="27">
      <c r="A27" s="3" t="inlineStr">
        <is>
          <t>Meetings and deals outside approved lanes pay $0. New lanes require written approval BEFORE any list-building.</t>
        </is>
      </c>
    </row>
    <row r="29">
      <c r="A29" s="6" t="inlineStr">
        <is>
          <t>MARKET REFERENCE (fairness rationale — stated assumptions, set by Rick)</t>
        </is>
      </c>
    </row>
    <row r="30">
      <c r="A30" s="3" t="inlineStr">
        <is>
          <t xml:space="preserve">  • Typical SDR pay mix: 60/40 to 70/30 base/variable. This plan lands ~65/35 at target.</t>
        </is>
      </c>
    </row>
    <row r="31">
      <c r="A31" s="3" t="inlineStr">
        <is>
          <t xml:space="preserve">  • Meeting-held spiffs commonly $25–$100 for SMB deal sizes.</t>
        </is>
      </c>
    </row>
    <row r="32">
      <c r="A32" s="3" t="inlineStr">
        <is>
          <t xml:space="preserve">  • Sourced-close incentives commonly 5–10% of first-year value; this plan's bounty + true-up ≈ 10–27% of Y1</t>
        </is>
      </c>
    </row>
    <row r="33">
      <c r="A33" s="3" t="inlineStr">
        <is>
          <t xml:space="preserve">    cash at current small deal sizes — deliberately above standard while deals are small, so wins stay meaningful.</t>
        </is>
      </c>
    </row>
    <row r="35">
      <c r="A35" s="6" t="inlineStr">
        <is>
          <t>PAYMENT TIMING</t>
        </is>
      </c>
    </row>
    <row r="36">
      <c r="A36" s="8" t="inlineStr">
        <is>
          <t>Base</t>
        </is>
      </c>
      <c r="C36" s="7" t="inlineStr">
        <is>
          <t>1st of month</t>
        </is>
      </c>
    </row>
    <row r="37">
      <c r="A37" s="8" t="inlineStr">
        <is>
          <t>Meeting payouts</t>
        </is>
      </c>
      <c r="C37" s="7" t="inlineStr">
        <is>
          <t>With base, monthly, per tracker + calendar record</t>
        </is>
      </c>
    </row>
    <row r="38">
      <c r="A38" s="8" t="inlineStr">
        <is>
          <t>Close bounty</t>
        </is>
      </c>
      <c r="C38" s="7" t="inlineStr">
        <is>
          <t>First payroll after customer payment clears</t>
        </is>
      </c>
    </row>
    <row r="39">
      <c r="A39" s="8" t="inlineStr">
        <is>
          <t>Retention true-up</t>
        </is>
      </c>
      <c r="C39" s="7" t="inlineStr">
        <is>
          <t>First payroll after day 90 with customer active</t>
        </is>
      </c>
    </row>
    <row r="40">
      <c r="A40" s="8" t="inlineStr">
        <is>
          <t>Role ends</t>
        </is>
      </c>
      <c r="C40" s="7" t="inlineStr">
        <is>
          <t>Earned amounts paid out; deal ledger closes 90 days after end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0" customWidth="1" min="3" max="3"/>
  </cols>
  <sheetData>
    <row r="1">
      <c r="A1" s="5" t="inlineStr">
        <is>
          <t>Content &amp; Community — Compensation Rules</t>
        </is>
      </c>
    </row>
    <row r="2">
      <c r="A2" s="7" t="inlineStr">
        <is>
          <t>Yellow cells are program inputs. Paid per shipped, approved piece.</t>
        </is>
      </c>
    </row>
    <row r="4">
      <c r="A4" s="6" t="inlineStr">
        <is>
          <t>RATE CARD (per shipped + approved piece)</t>
        </is>
      </c>
    </row>
    <row r="5">
      <c r="A5" s="8" t="inlineStr">
        <is>
          <t>Social post (researched, written, edited)</t>
        </is>
      </c>
      <c r="B5" s="9" t="n">
        <v>35</v>
      </c>
      <c r="C5" s="7" t="inlineStr">
        <is>
          <t>e.g. survey-findings post, community post</t>
        </is>
      </c>
    </row>
    <row r="6">
      <c r="A6" s="8" t="inlineStr">
        <is>
          <t>Short video clip / edit</t>
        </is>
      </c>
      <c r="B6" s="9" t="n">
        <v>75</v>
      </c>
      <c r="C6" s="7" t="inlineStr">
        <is>
          <t>Product clips, event cuts</t>
        </is>
      </c>
    </row>
    <row r="7">
      <c r="A7" s="8" t="inlineStr">
        <is>
          <t>Testimonial cut (customer video)</t>
        </is>
      </c>
      <c r="B7" s="9" t="n">
        <v>100</v>
      </c>
      <c r="C7" s="7" t="inlineStr">
        <is>
          <t>Sourced + permissioned + edited</t>
        </is>
      </c>
    </row>
    <row r="8">
      <c r="A8" s="8" t="inlineStr">
        <is>
          <t>Case study / long-form</t>
        </is>
      </c>
      <c r="B8" s="9" t="n">
        <v>150</v>
      </c>
      <c r="C8" s="7" t="inlineStr">
        <is>
          <t>With founder input on claims</t>
        </is>
      </c>
    </row>
    <row r="10">
      <c r="A10" s="8" t="inlineStr">
        <is>
          <t>Optional cadence retainer ($/mo)</t>
        </is>
      </c>
      <c r="B10" s="9" t="n">
        <v>200</v>
      </c>
      <c r="C10" s="2" t="inlineStr">
        <is>
          <t>Only with a committed 2-pieces/week cadence. Otherwise pure per-piece.</t>
        </is>
      </c>
    </row>
    <row r="11">
      <c r="A11" s="8" t="inlineStr">
        <is>
          <t>Monthly cap (pieces)</t>
        </is>
      </c>
      <c r="B11" s="10" t="n">
        <v>8</v>
      </c>
      <c r="C11" s="2" t="inlineStr">
        <is>
          <t>Above cap needs pre-approval — protects review bandwidth.</t>
        </is>
      </c>
    </row>
    <row r="13">
      <c r="A13" s="6" t="inlineStr">
        <is>
          <t>QUALITY GATE — a piece pays only if ALL are true:</t>
        </is>
      </c>
    </row>
    <row r="14">
      <c r="A14" s="3" t="inlineStr">
        <is>
          <t xml:space="preserve">  1. The person researched, drafted, and edited it. Raw AI output does not count.</t>
        </is>
      </c>
    </row>
    <row r="15">
      <c r="A15" s="3" t="inlineStr">
        <is>
          <t xml:space="preserve">  2. Founder approved it before/at publication (24–48h review turnaround owed in return).</t>
        </is>
      </c>
    </row>
    <row r="16">
      <c r="A16" s="3" t="inlineStr">
        <is>
          <t xml:space="preserve">  3. It actually shipped — published or delivered to a prospect/customer.</t>
        </is>
      </c>
    </row>
    <row r="17">
      <c r="A17" s="3" t="inlineStr">
        <is>
          <t xml:space="preserve">  4. Quality bar: coherent narrative, factually correct, has a point of view.</t>
        </is>
      </c>
    </row>
    <row r="19">
      <c r="A19" s="6" t="inlineStr">
        <is>
          <t>MARKET REFERENCE (stated assumptions, set by Rick)</t>
        </is>
      </c>
    </row>
    <row r="20">
      <c r="A20" s="3" t="inlineStr">
        <is>
          <t xml:space="preserve">  • Junior freelance per-piece rates commonly $25–$200 by format and length; this card sits at the junior end,</t>
        </is>
      </c>
    </row>
    <row r="21">
      <c r="A21" s="3" t="inlineStr">
        <is>
          <t xml:space="preserve">    reflecting heavy founder review. Raise rates as review need drops.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52" customWidth="1" min="3" max="3"/>
  </cols>
  <sheetData>
    <row r="1">
      <c r="A1" s="5" t="inlineStr">
        <is>
          <t>Monthly Earnings Calculator</t>
        </is>
      </c>
    </row>
    <row r="2">
      <c r="A2" s="7" t="inlineStr">
        <is>
          <t>Edit the yellow activity cells. Earnings compute from the comp tabs.</t>
        </is>
      </c>
    </row>
    <row r="4">
      <c r="A4" s="6" t="inlineStr">
        <is>
          <t>SDR ROLE — activity this month</t>
        </is>
      </c>
    </row>
    <row r="5">
      <c r="A5" s="8" t="inlineStr">
        <is>
          <t>Qualified meetings held</t>
        </is>
      </c>
      <c r="B5" s="10" t="n">
        <v>4</v>
      </c>
      <c r="C5" s="7" t="inlineStr">
        <is>
          <t>Meets all 5 criteria on SDR_Comp</t>
        </is>
      </c>
    </row>
    <row r="6">
      <c r="A6" s="8" t="inlineStr">
        <is>
          <t>Sourced deals closed (first payment collected)</t>
        </is>
      </c>
      <c r="B6" s="10" t="n">
        <v>1</v>
      </c>
    </row>
    <row r="7">
      <c r="A7" s="8" t="inlineStr">
        <is>
          <t>Avg MRR of those deals ($)</t>
        </is>
      </c>
      <c r="B7" s="9" t="n">
        <v>39</v>
      </c>
      <c r="C7" s="7" t="inlineStr">
        <is>
          <t>$29–39 single-seat; $20 founding bridge</t>
        </is>
      </c>
    </row>
    <row r="8">
      <c r="A8" s="8" t="inlineStr">
        <is>
          <t>Prior deals passing day-90 retention this month</t>
        </is>
      </c>
      <c r="B8" s="10" t="n">
        <v>0</v>
      </c>
    </row>
    <row r="10">
      <c r="A10" s="6" t="inlineStr">
        <is>
          <t>SDR EARNINGS</t>
        </is>
      </c>
    </row>
    <row r="11">
      <c r="A11" s="8" t="inlineStr">
        <is>
          <t>Base</t>
        </is>
      </c>
      <c r="B11" s="14">
        <f>SDR_Comp!B5</f>
        <v/>
      </c>
    </row>
    <row r="12">
      <c r="A12" s="8" t="inlineStr">
        <is>
          <t>Meeting payouts</t>
        </is>
      </c>
      <c r="B12" s="14">
        <f>B5*SDR_Comp!B10</f>
        <v/>
      </c>
    </row>
    <row r="13">
      <c r="A13" s="8" t="inlineStr">
        <is>
          <t>Close bounties</t>
        </is>
      </c>
      <c r="B13" s="14">
        <f>B6*SDR_Comp!B20*B7</f>
        <v/>
      </c>
    </row>
    <row r="14">
      <c r="A14" s="8" t="inlineStr">
        <is>
          <t>Retention true-ups</t>
        </is>
      </c>
      <c r="B14" s="14">
        <f>B8*SDR_Comp!B21*12*B7</f>
        <v/>
      </c>
    </row>
    <row r="15">
      <c r="A15" s="6" t="inlineStr">
        <is>
          <t>SDR TOTAL</t>
        </is>
      </c>
      <c r="B15" s="15">
        <f>SUM(B11:B14)</f>
        <v/>
      </c>
    </row>
    <row r="17">
      <c r="A17" s="6" t="inlineStr">
        <is>
          <t>CONTENT ROLE — pieces shipped this month</t>
        </is>
      </c>
    </row>
    <row r="18">
      <c r="A18" s="8" t="inlineStr">
        <is>
          <t>Social posts</t>
        </is>
      </c>
      <c r="B18" s="10" t="n">
        <v>2</v>
      </c>
    </row>
    <row r="19">
      <c r="A19" s="8" t="inlineStr">
        <is>
          <t>Short video clips</t>
        </is>
      </c>
      <c r="B19" s="10" t="n">
        <v>1</v>
      </c>
    </row>
    <row r="20">
      <c r="A20" s="8" t="inlineStr">
        <is>
          <t>Testimonial cuts</t>
        </is>
      </c>
      <c r="B20" s="10" t="n">
        <v>0</v>
      </c>
    </row>
    <row r="21">
      <c r="A21" s="8" t="inlineStr">
        <is>
          <t>Case studies / long-form</t>
        </is>
      </c>
      <c r="B21" s="10" t="n">
        <v>0</v>
      </c>
    </row>
    <row r="22">
      <c r="A22" s="8" t="inlineStr">
        <is>
          <t>Cadence retainer active? (1 = yes, 0 = no)</t>
        </is>
      </c>
      <c r="B22" s="10" t="n">
        <v>0</v>
      </c>
    </row>
    <row r="24">
      <c r="A24" s="6" t="inlineStr">
        <is>
          <t>CONTENT TOTAL</t>
        </is>
      </c>
      <c r="B24" s="15">
        <f>B18*Content_Comp!B5+B19*Content_Comp!B6+B20*Content_Comp!B7+B21*Content_Comp!B8+B22*Content_Comp!B10</f>
        <v/>
      </c>
    </row>
    <row r="26">
      <c r="A26" s="6" t="inlineStr">
        <is>
          <t>COMBINED (one person, both roles)</t>
        </is>
      </c>
      <c r="B26" s="15">
        <f>B15+B24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>
      <c r="A1" s="5" t="inlineStr">
        <is>
          <t>Planning Scenarios</t>
        </is>
      </c>
    </row>
    <row r="2">
      <c r="A2" s="7" t="inlineStr">
        <is>
          <t>Program inputs come from the comp tabs; activity assumptions below are editable.</t>
        </is>
      </c>
    </row>
    <row r="4">
      <c r="A4" s="6" t="inlineStr">
        <is>
          <t>SDR ROLE</t>
        </is>
      </c>
      <c r="B4" s="6" t="inlineStr">
        <is>
          <t>FLOOR</t>
        </is>
      </c>
      <c r="C4" s="6" t="inlineStr">
        <is>
          <t>TARGET</t>
        </is>
      </c>
      <c r="D4" s="6" t="inlineStr">
        <is>
          <t>STRETCH</t>
        </is>
      </c>
    </row>
    <row r="5">
      <c r="A5" s="8" t="inlineStr">
        <is>
          <t>Qualified meetings/month</t>
        </is>
      </c>
      <c r="B5" s="10" t="n">
        <v>2</v>
      </c>
      <c r="C5" s="10" t="n">
        <v>6</v>
      </c>
      <c r="D5" s="10" t="n">
        <v>10</v>
      </c>
    </row>
    <row r="6">
      <c r="A6" s="8" t="inlineStr">
        <is>
          <t>Sourced closes/month</t>
        </is>
      </c>
      <c r="B6" s="10" t="n">
        <v>0</v>
      </c>
      <c r="C6" s="10" t="n">
        <v>1</v>
      </c>
      <c r="D6" s="10" t="n">
        <v>2</v>
      </c>
    </row>
    <row r="7">
      <c r="A7" s="8" t="inlineStr">
        <is>
          <t>Avg MRR ($)</t>
        </is>
      </c>
      <c r="B7" s="9" t="n">
        <v>39</v>
      </c>
      <c r="C7" s="9" t="n">
        <v>39</v>
      </c>
      <c r="D7" s="9" t="n">
        <v>39</v>
      </c>
    </row>
    <row r="8">
      <c r="A8" s="8" t="inlineStr">
        <is>
          <t>Deals passing day-90/month</t>
        </is>
      </c>
      <c r="B8" s="10" t="n">
        <v>0</v>
      </c>
      <c r="C8" s="10" t="n">
        <v>0</v>
      </c>
      <c r="D8" s="10" t="n">
        <v>1</v>
      </c>
    </row>
    <row r="9">
      <c r="A9" s="8" t="inlineStr">
        <is>
          <t>Hours/week worked</t>
        </is>
      </c>
      <c r="B9" s="10" t="n">
        <v>10</v>
      </c>
      <c r="C9" s="10" t="n">
        <v>15</v>
      </c>
      <c r="D9" s="10" t="n">
        <v>20</v>
      </c>
    </row>
    <row r="11">
      <c r="A11" s="8" t="inlineStr">
        <is>
          <t>Base</t>
        </is>
      </c>
      <c r="B11" s="14">
        <f>SDR_Comp!$B$5</f>
        <v/>
      </c>
      <c r="C11" s="14">
        <f>SDR_Comp!$B$5</f>
        <v/>
      </c>
      <c r="D11" s="14">
        <f>SDR_Comp!$B$5</f>
        <v/>
      </c>
    </row>
    <row r="12">
      <c r="A12" s="8" t="inlineStr">
        <is>
          <t>Meeting payouts</t>
        </is>
      </c>
      <c r="B12" s="14">
        <f>B5*SDR_Comp!$B$10</f>
        <v/>
      </c>
      <c r="C12" s="14">
        <f>C5*SDR_Comp!$B$10</f>
        <v/>
      </c>
      <c r="D12" s="14">
        <f>D5*SDR_Comp!$B$10</f>
        <v/>
      </c>
    </row>
    <row r="13">
      <c r="A13" s="8" t="inlineStr">
        <is>
          <t>Close bounties</t>
        </is>
      </c>
      <c r="B13" s="14">
        <f>B6*SDR_Comp!$B$20*B7</f>
        <v/>
      </c>
      <c r="C13" s="14">
        <f>C6*SDR_Comp!$B$20*C7</f>
        <v/>
      </c>
      <c r="D13" s="14">
        <f>D6*SDR_Comp!$B$20*D7</f>
        <v/>
      </c>
    </row>
    <row r="14">
      <c r="A14" s="8" t="inlineStr">
        <is>
          <t>Retention true-ups</t>
        </is>
      </c>
      <c r="B14" s="14">
        <f>B8*SDR_Comp!$B$21*12*B7</f>
        <v/>
      </c>
      <c r="C14" s="14">
        <f>C8*SDR_Comp!$B$21*12*C7</f>
        <v/>
      </c>
      <c r="D14" s="14">
        <f>D8*SDR_Comp!$B$21*12*D7</f>
        <v/>
      </c>
    </row>
    <row r="15">
      <c r="A15" s="6" t="inlineStr">
        <is>
          <t>TOTAL / MONTH</t>
        </is>
      </c>
      <c r="B15" s="15">
        <f>SUM(B11:B14)</f>
        <v/>
      </c>
      <c r="C15" s="15">
        <f>SUM(C11:C14)</f>
        <v/>
      </c>
      <c r="D15" s="15">
        <f>SUM(D11:D14)</f>
        <v/>
      </c>
      <c r="E15" s="2" t="inlineStr">
        <is>
          <t>Fairness check: hourly equivalent should stay ≥ ~$15/hr at every level.</t>
        </is>
      </c>
    </row>
    <row r="16">
      <c r="A16" s="8" t="inlineStr">
        <is>
          <t>Hourly equivalent ($/hr)</t>
        </is>
      </c>
      <c r="B16" s="11">
        <f>B15/(B9*52/12)</f>
        <v/>
      </c>
      <c r="C16" s="11">
        <f>C15/(C9*52/12)</f>
        <v/>
      </c>
      <c r="D16" s="11">
        <f>D15/(D9*52/12)</f>
        <v/>
      </c>
    </row>
    <row r="18">
      <c r="A18" s="6" t="inlineStr">
        <is>
          <t>What each level looks like</t>
        </is>
      </c>
    </row>
    <row r="19">
      <c r="A19" s="8" t="inlineStr">
        <is>
          <t>FLOOR</t>
        </is>
      </c>
      <c r="E19" s="2" t="inlineStr">
        <is>
          <t>Minimum commitment met, little conversion yet. Base carries it.</t>
        </is>
      </c>
    </row>
    <row r="20">
      <c r="A20" s="8" t="inlineStr">
        <is>
          <t>TARGET</t>
        </is>
      </c>
      <c r="E20" s="2" t="inlineStr">
        <is>
          <t>Working funnel: ~1.5 meetings/wk, one small close/month. Realistic by week 4–6 of consistent, personalized outreach.</t>
        </is>
      </c>
    </row>
    <row r="21">
      <c r="A21" s="8" t="inlineStr">
        <is>
          <t>STRETCH</t>
        </is>
      </c>
      <c r="E21" s="2" t="inlineStr">
        <is>
          <t>Strong funnel + retention landing. Approaching prior $1,200 flat — now earned, not granted.</t>
        </is>
      </c>
    </row>
    <row r="23">
      <c r="A23" s="6" t="inlineStr">
        <is>
          <t>CONTENT ROLE</t>
        </is>
      </c>
      <c r="B23" s="6" t="inlineStr">
        <is>
          <t>FLOOR</t>
        </is>
      </c>
      <c r="C23" s="6" t="inlineStr">
        <is>
          <t>TARGET</t>
        </is>
      </c>
      <c r="D23" s="6" t="inlineStr">
        <is>
          <t>STRETCH</t>
        </is>
      </c>
    </row>
    <row r="24">
      <c r="A24" s="8" t="inlineStr">
        <is>
          <t>Social posts</t>
        </is>
      </c>
      <c r="B24" s="10" t="n">
        <v>2</v>
      </c>
      <c r="C24" s="10" t="n">
        <v>3</v>
      </c>
      <c r="D24" s="10" t="n">
        <v>4</v>
      </c>
    </row>
    <row r="25">
      <c r="A25" s="8" t="inlineStr">
        <is>
          <t>Short video clips</t>
        </is>
      </c>
      <c r="B25" s="10" t="n">
        <v>0</v>
      </c>
      <c r="C25" s="10" t="n">
        <v>1</v>
      </c>
      <c r="D25" s="10" t="n">
        <v>2</v>
      </c>
    </row>
    <row r="26">
      <c r="A26" s="8" t="inlineStr">
        <is>
          <t>Testimonial cuts</t>
        </is>
      </c>
      <c r="B26" s="10" t="n">
        <v>0</v>
      </c>
      <c r="C26" s="10" t="n">
        <v>1</v>
      </c>
      <c r="D26" s="10" t="n">
        <v>1</v>
      </c>
    </row>
    <row r="27">
      <c r="A27" s="8" t="inlineStr">
        <is>
          <t>Case studies / long-form</t>
        </is>
      </c>
      <c r="B27" s="10" t="n">
        <v>0</v>
      </c>
      <c r="C27" s="10" t="n">
        <v>0</v>
      </c>
      <c r="D27" s="10" t="n">
        <v>1</v>
      </c>
    </row>
    <row r="28">
      <c r="A28" s="8" t="inlineStr">
        <is>
          <t>Cadence retainer (1/0)</t>
        </is>
      </c>
      <c r="B28" s="10" t="n">
        <v>0</v>
      </c>
      <c r="C28" s="10" t="n">
        <v>1</v>
      </c>
      <c r="D28" s="10" t="n">
        <v>1</v>
      </c>
    </row>
    <row r="29">
      <c r="A29" s="6" t="inlineStr">
        <is>
          <t>TOTAL / MONTH</t>
        </is>
      </c>
      <c r="B29" s="15">
        <f>B24*Content_Comp!$B$5+B25*Content_Comp!$B$6+B26*Content_Comp!$B$7+B27*Content_Comp!$B$8+B28*Content_Comp!$B$10</f>
        <v/>
      </c>
      <c r="C29" s="15">
        <f>C24*Content_Comp!$B$5+C25*Content_Comp!$B$6+C26*Content_Comp!$B$7+C27*Content_Comp!$B$8+C28*Content_Comp!$B$10</f>
        <v/>
      </c>
      <c r="D29" s="15">
        <f>D24*Content_Comp!$B$5+D25*Content_Comp!$B$6+D26*Content_Comp!$B$7+D27*Content_Comp!$B$8+D28*Content_Comp!$B$10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20" customWidth="1" min="5" max="5"/>
    <col width="14" customWidth="1" min="6" max="6"/>
    <col width="26" customWidth="1" min="7" max="7"/>
    <col width="30" customWidth="1" min="8" max="8"/>
  </cols>
  <sheetData>
    <row r="1">
      <c r="A1" s="5" t="inlineStr">
        <is>
          <t>Daily End-of-Day Tracker (SDR role)</t>
        </is>
      </c>
    </row>
    <row r="2">
      <c r="A2" s="7" t="inlineStr">
        <is>
          <t>Submitted by 6pm every working day. Copy a blank row per day; the EXAMPLE row shows expected format.</t>
        </is>
      </c>
    </row>
    <row r="4">
      <c r="A4" s="16" t="inlineStr">
        <is>
          <t>Date</t>
        </is>
      </c>
      <c r="B4" s="16" t="inlineStr">
        <is>
          <t>Hours</t>
        </is>
      </c>
      <c r="C4" s="16" t="inlineStr">
        <is>
          <t>Meetings held</t>
        </is>
      </c>
      <c r="D4" s="16" t="inlineStr">
        <is>
          <t>Meetings booked</t>
        </is>
      </c>
      <c r="E4" s="16" t="inlineStr">
        <is>
          <t>Personalized emails sent</t>
        </is>
      </c>
      <c r="F4" s="16" t="inlineStr">
        <is>
          <t>Follow-ups sent</t>
        </is>
      </c>
      <c r="G4" s="16" t="inlineStr">
        <is>
          <t>Blockers</t>
        </is>
      </c>
      <c r="H4" s="16" t="inlineStr">
        <is>
          <t>Notes / wins</t>
        </is>
      </c>
    </row>
    <row r="5">
      <c r="A5" s="7" t="inlineStr">
        <is>
          <t>EXAMPLE — Mon 8/17</t>
        </is>
      </c>
      <c r="B5" s="7" t="n">
        <v>4</v>
      </c>
      <c r="C5" s="7" t="n">
        <v>1</v>
      </c>
      <c r="D5" s="7" t="n">
        <v>1</v>
      </c>
      <c r="E5" s="7" t="n">
        <v>6</v>
      </c>
      <c r="F5" s="7" t="n">
        <v>9</v>
      </c>
      <c r="G5" s="7" t="inlineStr">
        <is>
          <t>None</t>
        </is>
      </c>
      <c r="H5" s="7" t="inlineStr">
        <is>
          <t>Booked Kateri intro call for Thu</t>
        </is>
      </c>
    </row>
    <row r="7">
      <c r="A7" s="6" t="inlineStr">
        <is>
          <t>Rules</t>
        </is>
      </c>
    </row>
    <row r="8">
      <c r="A8" s="3" t="inlineStr">
        <is>
          <t>1. By 6pm local, every working day. Illness excepted; silence is not.</t>
        </is>
      </c>
    </row>
    <row r="9">
      <c r="A9" s="3" t="inlineStr">
        <is>
          <t>2. Zeros are fine and honest. Pretending to be busy is not.</t>
        </is>
      </c>
    </row>
    <row r="10">
      <c r="A10" s="3" t="inlineStr">
        <is>
          <t>3. Late 3× in a month → that month's base pro-rates.</t>
        </is>
      </c>
    </row>
    <row r="11">
      <c r="A11" s="3" t="inlineStr">
        <is>
          <t>4. 'Personalized emails' means individually researched. Batch/mail-merge sends belong in no column — they don't count.</t>
        </is>
      </c>
    </row>
    <row r="12">
      <c r="A12" s="3" t="inlineStr">
        <is>
          <t>5. Blockers = things the founder can unblock. Recurring blockers are a management signal, not a complaint.</t>
        </is>
      </c>
    </row>
    <row r="13">
      <c r="A13" s="3" t="inlineStr">
        <is>
          <t>6. Friday: one short written summary compiling the week (activity, outcomes, blockers) before the weekly sync.</t>
        </is>
      </c>
    </row>
    <row r="15">
      <c r="A15" s="6" t="inlineStr">
        <is>
          <t>What the founder reviews weekly</t>
        </is>
      </c>
    </row>
    <row r="16">
      <c r="A16" s="3" t="inlineStr">
        <is>
          <t>• Meetings held vs booked (conversion) · replies per 10 personalized sends (quality) · days below expectation (pattern)</t>
        </is>
      </c>
    </row>
    <row r="17">
      <c r="A17" s="3" t="inlineStr">
        <is>
          <t>• Whether the founder was the blocker (review turnarounds owed: same-day for sends, 24–48h for content)</t>
        </is>
      </c>
    </row>
  </sheetData>
  <mergeCells count="9">
    <mergeCell ref="A9:H9"/>
    <mergeCell ref="A12:H12"/>
    <mergeCell ref="A15:H15"/>
    <mergeCell ref="A16:H16"/>
    <mergeCell ref="A10:H10"/>
    <mergeCell ref="A13:H13"/>
    <mergeCell ref="A11:H11"/>
    <mergeCell ref="A8:H8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2026-08-14T18:48:42Z</dcterms:created>
  <dcterms:modified xsi:type="dcterms:W3CDTF">2026-08-14T18:48:42Z</dcterms:modified>
</cp:coreProperties>
</file>